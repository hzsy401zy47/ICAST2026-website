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VL LAB\ICAST2026 website\ICAST2026-website\R1\assets\data\"/>
    </mc:Choice>
  </mc:AlternateContent>
  <xr:revisionPtr revIDLastSave="0" documentId="13_ncr:1_{118C5B7C-5449-484D-A1FB-872D438D5D45}" xr6:coauthVersionLast="47" xr6:coauthVersionMax="47" xr10:uidLastSave="{00000000-0000-0000-0000-000000000000}"/>
  <bookViews>
    <workbookView xWindow="-110" yWindow="-110" windowWidth="25820" windowHeight="16220" xr2:uid="{21A00F37-F168-469C-B495-5B188FB1F7DD}"/>
  </bookViews>
  <sheets>
    <sheet name="IOC ICAST" sheetId="3" r:id="rId1"/>
  </sheets>
  <definedNames>
    <definedName name="_xlnm._FilterDatabase" localSheetId="0" hidden="1">'IOC ICAST'!$B$1:$B$1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" i="3" l="1"/>
  <c r="D14" i="3"/>
  <c r="D17" i="3"/>
  <c r="D57" i="3"/>
  <c r="D58" i="3"/>
  <c r="D4" i="3"/>
  <c r="D29" i="3"/>
  <c r="D26" i="3"/>
  <c r="D47" i="3"/>
  <c r="D12" i="3"/>
  <c r="D18" i="3"/>
  <c r="D41" i="3"/>
  <c r="D33" i="3"/>
  <c r="D2" i="3"/>
  <c r="D25" i="3"/>
  <c r="D45" i="3"/>
  <c r="D39" i="3"/>
  <c r="D53" i="3"/>
  <c r="D50" i="3"/>
  <c r="D54" i="3"/>
  <c r="D7" i="3"/>
  <c r="D30" i="3"/>
  <c r="D46" i="3"/>
  <c r="D32" i="3"/>
  <c r="D11" i="3"/>
  <c r="D23" i="3"/>
  <c r="D24" i="3"/>
  <c r="D31" i="3"/>
  <c r="D55" i="3"/>
  <c r="D5" i="3"/>
  <c r="D40" i="3"/>
  <c r="D8" i="3"/>
  <c r="D16" i="3"/>
  <c r="D38" i="3"/>
  <c r="D52" i="3"/>
  <c r="D56" i="3"/>
  <c r="D20" i="3"/>
  <c r="D13" i="3"/>
  <c r="D19" i="3"/>
  <c r="D10" i="3"/>
  <c r="D43" i="3"/>
  <c r="D48" i="3"/>
  <c r="D37" i="3"/>
  <c r="D49" i="3"/>
  <c r="D59" i="3"/>
  <c r="D27" i="3"/>
  <c r="D6" i="3"/>
  <c r="D21" i="3"/>
  <c r="D60" i="3"/>
  <c r="D36" i="3"/>
  <c r="D51" i="3"/>
  <c r="D35" i="3"/>
  <c r="D28" i="3"/>
  <c r="D3" i="3"/>
</calcChain>
</file>

<file path=xl/sharedStrings.xml><?xml version="1.0" encoding="utf-8"?>
<sst xmlns="http://schemas.openxmlformats.org/spreadsheetml/2006/main" count="117" uniqueCount="116">
  <si>
    <t>IOC Member</t>
  </si>
  <si>
    <t>E-mail</t>
  </si>
  <si>
    <t>A. Bergamini, EMPA, Switzerland</t>
  </si>
  <si>
    <t xml:space="preserve">Bergamini Andrea &lt;Andrea.Bergamini@empa.ch&gt;; </t>
  </si>
  <si>
    <t>A. Concilio, CIRA, Italy</t>
  </si>
  <si>
    <t xml:space="preserve">Antonio Concilio &lt;A.Concilio@cira.it&gt;; </t>
  </si>
  <si>
    <t>A. Erturk, Georgia Tech, USA</t>
  </si>
  <si>
    <t>Erturk, Alper &lt;alper.erturk@me.gatech.edu&gt;</t>
  </si>
  <si>
    <t>A. Flatau, University of Maryland, USA</t>
  </si>
  <si>
    <t>Alison Flatau &lt;aflatau@umd.edu&gt;;</t>
  </si>
  <si>
    <t>A. Wickenheiser, George Washington University, USA</t>
  </si>
  <si>
    <t>amwick@gwu.edu;</t>
  </si>
  <si>
    <t>B. K. S. Woods, Bristol University, UK</t>
  </si>
  <si>
    <t>Ben.K.S.Woods@bristol.ac.uk;</t>
  </si>
  <si>
    <t>D. Brei, University of Michigan, USA</t>
  </si>
  <si>
    <t>drdiannbrei@umich.edu;</t>
  </si>
  <si>
    <t>D. C. Lagoudas, Texas A&amp;M University, USA</t>
  </si>
  <si>
    <t xml:space="preserve">Dimitris Lagoudas &lt;lagoudas@tamu.edu&gt;; </t>
  </si>
  <si>
    <t>D. J. Inman, University of Michigan, USA</t>
  </si>
  <si>
    <t>Daniel Inman &lt;daninman@umich.edu&gt;;</t>
  </si>
  <si>
    <t>D. Saravanos, University of Patras, Greece</t>
  </si>
  <si>
    <t>saravanos@mech.upatras.gr;</t>
  </si>
  <si>
    <t>E. Dragoni, University of Modena and Reggio Emilia, Italy</t>
  </si>
  <si>
    <t xml:space="preserve">Eugenio Dragoni &lt;eugenio.dragoni@unimore.it&gt;; </t>
  </si>
  <si>
    <t>F. Gandhi, Rensselaer Polytechnic Institute, USA</t>
  </si>
  <si>
    <t>fgandhi@rpi.edu;</t>
  </si>
  <si>
    <t>F. Nitzsche, Carleton University, Canada</t>
  </si>
  <si>
    <t xml:space="preserve">Nitzsche Fred &lt;fred_nitzsche@carleton.ca&gt;; </t>
  </si>
  <si>
    <t>Fred Nitzsche &lt;fnitzsche@me.com&gt;;</t>
  </si>
  <si>
    <t>G. A. Lesieutre, Pennsylvania State University, USA</t>
  </si>
  <si>
    <t>George A. Lesieutre &lt;g-lesieutre@psu.edu&gt;;</t>
  </si>
  <si>
    <t>George A &lt;gal4@psu.edu&gt;;</t>
  </si>
  <si>
    <t>H. Abramovich, Technion Israel Institute of Technology, Israel</t>
  </si>
  <si>
    <t>abramovich.haim@gmail.com;</t>
  </si>
  <si>
    <t>H. Hanselka, Fraunhofer Institute, Germany</t>
  </si>
  <si>
    <t xml:space="preserve">holger.hanselka@lbf.fraunhofer.de; </t>
  </si>
  <si>
    <t>H. Okubo, Osaka Prefecture University, Japan</t>
  </si>
  <si>
    <t>okubo@me.kanagawa-it.ac.jp;</t>
  </si>
  <si>
    <t>H. P. Monner, German Aerospace Center (DLR), Germany</t>
  </si>
  <si>
    <t xml:space="preserve">Hans Peter Monner &lt;hans.monner@dlr.de&gt;; </t>
  </si>
  <si>
    <t>H. S. Tzou, Nanjing University of Aeronautics and Astronautics, China</t>
  </si>
  <si>
    <t>H. Tanaka, National Defense Academy of Japan, Japan</t>
  </si>
  <si>
    <t xml:space="preserve">Hiroaki Tanaka &lt;tanakah@nda.ac.jp&gt;; </t>
  </si>
  <si>
    <t xml:space="preserve">Dai-Hua Wang &lt;dhwang@cqu.edu.cn&gt;; </t>
  </si>
  <si>
    <t>I. Chopra, University of Maryland, USA</t>
  </si>
  <si>
    <t xml:space="preserve">Inder Chopra &lt;chopra@umd.edu&gt;; </t>
  </si>
  <si>
    <t>I. Lee, Korea Advanced Institute of Science and Technology, Republic of Korea</t>
  </si>
  <si>
    <t>leejrr@kaist.ac.kr;</t>
  </si>
  <si>
    <t>J. Qiu, Nanjing University of Aeronautics and Astronautics, China</t>
  </si>
  <si>
    <t>J. S. Leng, Harbin Institute of Technology, China</t>
  </si>
  <si>
    <t>lengjs@hit.edu.cn;</t>
  </si>
  <si>
    <t>J.-F. Deü, Conservatoire National des Arts et Métiers, France</t>
  </si>
  <si>
    <t>jean-francois.deu@cnam.fr;</t>
  </si>
  <si>
    <t>J.-H. Han, Korea Advanced Institute of Science and Technology, Republic of Korea</t>
  </si>
  <si>
    <t>Jae-Hung Han &lt;jaehunghan@kaist.ac.kr&gt;;</t>
  </si>
  <si>
    <t>K. Hanahara, Iwate University, Japan</t>
  </si>
  <si>
    <t>Kazuyuki HANAHARA &lt;hanahara@iwate-u.ac.jp&gt;;</t>
  </si>
  <si>
    <t>cklee@ntu.edu.tw;</t>
  </si>
  <si>
    <t>K.-W. Wang, University of Michigan, USA</t>
  </si>
  <si>
    <t>kwwang@umich.edu;</t>
  </si>
  <si>
    <t>L. F. Campanile, Monolitix, Switzerland</t>
  </si>
  <si>
    <t>M. C. Natori, JAXA, Japan</t>
  </si>
  <si>
    <t>mcnatori@ac.jaxa.jp;</t>
  </si>
  <si>
    <t>M. Collet, CNRS, France</t>
  </si>
  <si>
    <t>manuel.collet@ec-lyon.fr;</t>
  </si>
  <si>
    <t>M. Martinez, Clarkson University, USA</t>
  </si>
  <si>
    <t xml:space="preserve">Marcias Martinez &lt;mmartine@clarkson.edu&gt;; </t>
  </si>
  <si>
    <t>M. Trindade, University of São Paulo, Brazil</t>
  </si>
  <si>
    <t xml:space="preserve">Marcelo A. Trindade &lt;trindade@sc.usp.br&gt;; </t>
  </si>
  <si>
    <t>N. M. Wereley, University of Maryland, USA</t>
  </si>
  <si>
    <t>Norm Wereley &lt;wereley@umd.edu&gt;;</t>
  </si>
  <si>
    <t>N. S. Goo, Konkuk University, Republic of Korea</t>
  </si>
  <si>
    <t>P. Ermanni, ETH Zurich, Switzerland</t>
  </si>
  <si>
    <t>P. Gaudenzi, University of Rome, Italy</t>
  </si>
  <si>
    <t xml:space="preserve">Paolo Gaudenzi &lt;paolo.gaudenzi@uniroma1.it&gt;; </t>
  </si>
  <si>
    <t>R.DeBreuker@tudelft.nl;</t>
  </si>
  <si>
    <t>R. Ohayon, Conservatoire National des Arts et Métiers, France</t>
  </si>
  <si>
    <t>Roger Ohayon &lt;roger.ohayon@lecnam.net&gt;;</t>
  </si>
  <si>
    <t>Roger Ohayon &lt;roger.ohayon@cnam.fr&gt;;</t>
  </si>
  <si>
    <t>W. H. Liao, Chinese University of Hong Kong, China</t>
  </si>
  <si>
    <t>Wei Hsin Liao (MAEG) &lt;whliao@cuhk.edu.hk&gt;;</t>
  </si>
  <si>
    <t>W. J. Staszewski, AGH University of Science &amp; Technology, Poland</t>
  </si>
  <si>
    <t>staszews@agh.edu.pl;</t>
  </si>
  <si>
    <t>W.-J. Wu, National Taiwan University, Taiwan</t>
  </si>
  <si>
    <t>Wen-Jong Wu &lt;wjwu@ntu.edu.tw&gt;;</t>
  </si>
  <si>
    <t>X. X. Jiang, Canadian Space Agency, Canada</t>
  </si>
  <si>
    <t xml:space="preserve">xinxiangjiang@cunet.carleton.ca; </t>
  </si>
  <si>
    <t>Y. Chen, National Research Council, Canada</t>
  </si>
  <si>
    <t>Eric &lt;Eric.Chen@nrc-cnrc.gc.ca&gt;;</t>
  </si>
  <si>
    <t>Z. Gurdal, University of South Carolina, USA</t>
  </si>
  <si>
    <t xml:space="preserve">gurdal@cec.sc.edu; </t>
  </si>
  <si>
    <t xml:space="preserve">zgurdal@skoltech.ru; </t>
  </si>
  <si>
    <t xml:space="preserve">Ramin Sedaghati &lt;ramin.sedaghati@concordia.ca&gt;; </t>
  </si>
  <si>
    <t xml:space="preserve">mfanz@nuaa.edu.cn; </t>
  </si>
  <si>
    <t xml:space="preserve"> </t>
  </si>
  <si>
    <t>M. Fan, Nanjing University of Aeronautics and Astronautics, China</t>
  </si>
  <si>
    <t>zbyang@ust.hk</t>
  </si>
  <si>
    <t>liangjr@shanghaitech.edu.cn</t>
  </si>
  <si>
    <t xml:space="preserve">TZOU, Hornsen &lt;hstzou@nuaa.edu.cn&gt;; </t>
  </si>
  <si>
    <t>qiu@nuaa.edu.cn</t>
  </si>
  <si>
    <t>jiong.tang@uconn.edu</t>
  </si>
  <si>
    <t>J.Jovanova@tudelft.nl</t>
  </si>
  <si>
    <t>flavio.campanile@dlr.de</t>
  </si>
  <si>
    <t>permanni@ethz.ch</t>
  </si>
  <si>
    <t xml:space="preserve">nsgoo@konkuk.ac.kr </t>
  </si>
  <si>
    <t>C. K. Lee, National Taiwan University, Taiwan</t>
    <phoneticPr fontId="3" type="noConversion"/>
  </si>
  <si>
    <t>suyili@vt.edu</t>
    <phoneticPr fontId="3" type="noConversion"/>
  </si>
  <si>
    <t>Z. B. Yang, Hong Kong University of Science and Technology, Hong Kong</t>
    <phoneticPr fontId="3" type="noConversion"/>
  </si>
  <si>
    <t>J. R. Liang, ShanghaiTech University, China</t>
    <phoneticPr fontId="3" type="noConversion"/>
  </si>
  <si>
    <t>J. Tang,  University of Connecticut, USA</t>
    <phoneticPr fontId="3" type="noConversion"/>
  </si>
  <si>
    <t>S. Y. Li, Virginia Tech, USA</t>
    <phoneticPr fontId="3" type="noConversion"/>
  </si>
  <si>
    <t>J. Jovanova, Univ. of Delft, Netherlands</t>
    <phoneticPr fontId="3" type="noConversion"/>
  </si>
  <si>
    <t>R. Sedaghati, Concordia University, Canada</t>
    <phoneticPr fontId="3" type="noConversion"/>
  </si>
  <si>
    <t>D. H. Wang, Chongqing University, China</t>
    <phoneticPr fontId="3" type="noConversion"/>
  </si>
  <si>
    <t>last name</t>
    <phoneticPr fontId="3" type="noConversion"/>
  </si>
  <si>
    <t>R. De Breuker, Delft University of Technology, Netherlands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</si>
</sst>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1" xfId="0" applyBorder="1" applyAlignment="1">
      <alignment vertical="center" wrapText="1"/>
    </xf>
    <xf numFmtId="0" fontId="1" fillId="0" borderId="1" xfId="1" applyBorder="1" applyAlignment="1">
      <alignment vertical="center" wrapText="1"/>
    </xf>
    <xf numFmtId="0" fontId="1" fillId="0" borderId="0" xfId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vertical="center" wrapText="1"/>
    </xf>
    <xf numFmtId="0" fontId="0" fillId="3" borderId="0" xfId="0" applyFill="1"/>
    <xf numFmtId="0" fontId="2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colors>
    <mruColors>
      <color rgb="FFFFE1FF"/>
      <color rgb="FFFFEFFF"/>
      <color rgb="FFFFD9FF"/>
      <color rgb="FFFFCDFF"/>
      <color rgb="FFFFE5FF"/>
      <color rgb="FFCCCCFF"/>
      <color rgb="FFCCECFF"/>
      <color rgb="FFFFCC99"/>
      <color rgb="FFFFCC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nsgoo@konkuk.ac.kr" TargetMode="External"/><Relationship Id="rId13" Type="http://schemas.openxmlformats.org/officeDocument/2006/relationships/hyperlink" Target="mailto:manuel.collet@ec-lyon.fr;" TargetMode="External"/><Relationship Id="rId18" Type="http://schemas.openxmlformats.org/officeDocument/2006/relationships/hyperlink" Target="mailto:saravanos@mech.upatras.gr;" TargetMode="External"/><Relationship Id="rId26" Type="http://schemas.openxmlformats.org/officeDocument/2006/relationships/hyperlink" Target="mailto:zbyang@ust.hk" TargetMode="External"/><Relationship Id="rId3" Type="http://schemas.openxmlformats.org/officeDocument/2006/relationships/hyperlink" Target="mailto:amwick@gwu.edu;" TargetMode="External"/><Relationship Id="rId21" Type="http://schemas.openxmlformats.org/officeDocument/2006/relationships/hyperlink" Target="mailto:gurdal@cec.sc.edu;" TargetMode="External"/><Relationship Id="rId7" Type="http://schemas.openxmlformats.org/officeDocument/2006/relationships/hyperlink" Target="mailto:fgandhi@rpi.edu;" TargetMode="External"/><Relationship Id="rId12" Type="http://schemas.openxmlformats.org/officeDocument/2006/relationships/hyperlink" Target="mailto:leejrr@kaist.ac.kr;" TargetMode="External"/><Relationship Id="rId17" Type="http://schemas.openxmlformats.org/officeDocument/2006/relationships/hyperlink" Target="mailto:R.DeBreuker@tudelft.nl;" TargetMode="External"/><Relationship Id="rId25" Type="http://schemas.openxmlformats.org/officeDocument/2006/relationships/hyperlink" Target="mailto:jiong.tang@uconn.edu" TargetMode="External"/><Relationship Id="rId2" Type="http://schemas.openxmlformats.org/officeDocument/2006/relationships/hyperlink" Target="mailto:abramovich.haim@gmail.com;" TargetMode="External"/><Relationship Id="rId16" Type="http://schemas.openxmlformats.org/officeDocument/2006/relationships/hyperlink" Target="mailto:flavio.campanile@dlr.de" TargetMode="External"/><Relationship Id="rId20" Type="http://schemas.openxmlformats.org/officeDocument/2006/relationships/hyperlink" Target="mailto:xinxiangjiang@cunet.carleton.ca;" TargetMode="External"/><Relationship Id="rId29" Type="http://schemas.openxmlformats.org/officeDocument/2006/relationships/hyperlink" Target="mailto:permanni@ethz.ch" TargetMode="External"/><Relationship Id="rId1" Type="http://schemas.openxmlformats.org/officeDocument/2006/relationships/hyperlink" Target="mailto:lengjs@hit.edu.cn;" TargetMode="External"/><Relationship Id="rId6" Type="http://schemas.openxmlformats.org/officeDocument/2006/relationships/hyperlink" Target="mailto:drdiannbrei@umich.edu" TargetMode="External"/><Relationship Id="rId11" Type="http://schemas.openxmlformats.org/officeDocument/2006/relationships/hyperlink" Target="mailto:kwwang@umich.edu;" TargetMode="External"/><Relationship Id="rId24" Type="http://schemas.openxmlformats.org/officeDocument/2006/relationships/hyperlink" Target="mailto:qiu@nuaa.edu.cn" TargetMode="External"/><Relationship Id="rId5" Type="http://schemas.openxmlformats.org/officeDocument/2006/relationships/hyperlink" Target="mailto:cklee@ntu.edu.tw;" TargetMode="External"/><Relationship Id="rId15" Type="http://schemas.openxmlformats.org/officeDocument/2006/relationships/hyperlink" Target="mailto:okubo@me.kanagawa-it.ac.jp;" TargetMode="External"/><Relationship Id="rId23" Type="http://schemas.openxmlformats.org/officeDocument/2006/relationships/hyperlink" Target="mailto:mfanz@nuaa.edu.cn;" TargetMode="External"/><Relationship Id="rId28" Type="http://schemas.openxmlformats.org/officeDocument/2006/relationships/hyperlink" Target="mailto:suyili@vt.edu" TargetMode="External"/><Relationship Id="rId10" Type="http://schemas.openxmlformats.org/officeDocument/2006/relationships/hyperlink" Target="mailto:jean-francois.deu@cnam.fr;" TargetMode="External"/><Relationship Id="rId19" Type="http://schemas.openxmlformats.org/officeDocument/2006/relationships/hyperlink" Target="mailto:staszews@agh.edu.pl;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mailto:Ben.K.S.Woods@bristol.ac.uk;" TargetMode="External"/><Relationship Id="rId9" Type="http://schemas.openxmlformats.org/officeDocument/2006/relationships/hyperlink" Target="mailto:holger.hanselka@lbf.fraunhofer.de;" TargetMode="External"/><Relationship Id="rId14" Type="http://schemas.openxmlformats.org/officeDocument/2006/relationships/hyperlink" Target="mailto:mcnatori@ac.jaxa.jp;" TargetMode="External"/><Relationship Id="rId22" Type="http://schemas.openxmlformats.org/officeDocument/2006/relationships/hyperlink" Target="mailto:zgurdal@skoltech.ru" TargetMode="External"/><Relationship Id="rId27" Type="http://schemas.openxmlformats.org/officeDocument/2006/relationships/hyperlink" Target="mailto:liangjr@shanghaitech.edu.cn" TargetMode="External"/><Relationship Id="rId30" Type="http://schemas.openxmlformats.org/officeDocument/2006/relationships/hyperlink" Target="mailto:J.Jovanova@tudelft.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19923-FAAE-4C42-B64A-CDC3A4E882B2}">
  <dimension ref="B1:D62"/>
  <sheetViews>
    <sheetView tabSelected="1" zoomScale="85" zoomScaleNormal="85" workbookViewId="0">
      <selection activeCell="D31" sqref="D31"/>
    </sheetView>
  </sheetViews>
  <sheetFormatPr defaultRowHeight="14" x14ac:dyDescent="0.3"/>
  <cols>
    <col min="2" max="2" width="72.25" bestFit="1" customWidth="1"/>
    <col min="3" max="3" width="57.4140625" customWidth="1"/>
    <col min="4" max="7" width="8.75" customWidth="1"/>
  </cols>
  <sheetData>
    <row r="1" spans="2:4" ht="19.899999999999999" customHeight="1" thickBot="1" x14ac:dyDescent="0.35">
      <c r="B1" s="5" t="s">
        <v>0</v>
      </c>
      <c r="C1" s="5" t="s">
        <v>1</v>
      </c>
      <c r="D1" t="s">
        <v>114</v>
      </c>
    </row>
    <row r="2" spans="2:4" ht="19.899999999999999" customHeight="1" thickBot="1" x14ac:dyDescent="0.35">
      <c r="B2" s="1" t="s">
        <v>32</v>
      </c>
      <c r="C2" s="2" t="s">
        <v>33</v>
      </c>
      <c r="D2" t="str">
        <f>TRIM(RIGHT(SUBSTITUTE(LEFT(B2, FIND(",",B2) -1), " ",REPT(" ",100)), 100))</f>
        <v>Abramovich</v>
      </c>
    </row>
    <row r="3" spans="2:4" ht="19.899999999999999" customHeight="1" thickBot="1" x14ac:dyDescent="0.35">
      <c r="B3" s="1" t="s">
        <v>2</v>
      </c>
      <c r="C3" s="1" t="s">
        <v>3</v>
      </c>
      <c r="D3" t="str">
        <f>TRIM(RIGHT(SUBSTITUTE(LEFT(B3, FIND(",",B3) -1), " ",REPT(" ",100)), 100))</f>
        <v>Bergamini</v>
      </c>
    </row>
    <row r="4" spans="2:4" ht="19.899999999999999" customHeight="1" thickBot="1" x14ac:dyDescent="0.35">
      <c r="B4" s="9" t="s">
        <v>14</v>
      </c>
      <c r="C4" s="2" t="s">
        <v>15</v>
      </c>
      <c r="D4" t="str">
        <f>TRIM(RIGHT(SUBSTITUTE(LEFT(B4, FIND(",",B4) -1), " ",REPT(" ",100)), 100))</f>
        <v>Brei</v>
      </c>
    </row>
    <row r="5" spans="2:4" ht="19.899999999999999" customHeight="1" thickBot="1" x14ac:dyDescent="0.35">
      <c r="B5" s="10" t="s">
        <v>60</v>
      </c>
      <c r="C5" s="2" t="s">
        <v>102</v>
      </c>
      <c r="D5" t="str">
        <f>TRIM(RIGHT(SUBSTITUTE(LEFT(B5, FIND(",",B5) -1), " ",REPT(" ",100)), 100))</f>
        <v>Campanile</v>
      </c>
    </row>
    <row r="6" spans="2:4" ht="19.899999999999999" customHeight="1" thickBot="1" x14ac:dyDescent="0.35">
      <c r="B6" s="1" t="s">
        <v>87</v>
      </c>
      <c r="C6" s="1" t="s">
        <v>88</v>
      </c>
      <c r="D6" t="str">
        <f>TRIM(RIGHT(SUBSTITUTE(LEFT(B6, FIND(",",B6) -1), " ",REPT(" ",100)), 100))</f>
        <v>Chen</v>
      </c>
    </row>
    <row r="7" spans="2:4" ht="19.899999999999999" customHeight="1" thickBot="1" x14ac:dyDescent="0.35">
      <c r="B7" s="1" t="s">
        <v>44</v>
      </c>
      <c r="C7" s="1" t="s">
        <v>45</v>
      </c>
      <c r="D7" t="str">
        <f>TRIM(RIGHT(SUBSTITUTE(LEFT(B7, FIND(",",B7) -1), " ",REPT(" ",100)), 100))</f>
        <v>Chopra</v>
      </c>
    </row>
    <row r="8" spans="2:4" ht="19.899999999999999" customHeight="1" thickBot="1" x14ac:dyDescent="0.35">
      <c r="B8" s="1" t="s">
        <v>63</v>
      </c>
      <c r="C8" s="2" t="s">
        <v>64</v>
      </c>
      <c r="D8" t="str">
        <f>TRIM(RIGHT(SUBSTITUTE(LEFT(B8, FIND(",",B8) -1), " ",REPT(" ",100)), 100))</f>
        <v>Collet</v>
      </c>
    </row>
    <row r="9" spans="2:4" ht="19.899999999999999" customHeight="1" thickBot="1" x14ac:dyDescent="0.35">
      <c r="B9" s="1" t="s">
        <v>4</v>
      </c>
      <c r="C9" s="1" t="s">
        <v>5</v>
      </c>
      <c r="D9" t="str">
        <f>TRIM(RIGHT(SUBSTITUTE(LEFT(B9, FIND(",",B9) -1), " ",REPT(" ",100)), 100))</f>
        <v>Concilio</v>
      </c>
    </row>
    <row r="10" spans="2:4" ht="19.899999999999999" customHeight="1" thickBot="1" x14ac:dyDescent="0.35">
      <c r="B10" s="1" t="s">
        <v>115</v>
      </c>
      <c r="C10" s="2" t="s">
        <v>75</v>
      </c>
      <c r="D10" t="str">
        <f>TRIM(RIGHT(SUBSTITUTE(LEFT(B10, FIND(",",B10) -1), " ",REPT(" ",100)), 100))</f>
        <v>Breuker</v>
      </c>
    </row>
    <row r="11" spans="2:4" ht="19.899999999999999" customHeight="1" thickBot="1" x14ac:dyDescent="0.35">
      <c r="B11" s="1" t="s">
        <v>51</v>
      </c>
      <c r="C11" s="2" t="s">
        <v>52</v>
      </c>
      <c r="D11" t="str">
        <f>TRIM(RIGHT(SUBSTITUTE(LEFT(B11, FIND(",",B11) -1), " ",REPT(" ",100)), 100))</f>
        <v>Deü</v>
      </c>
    </row>
    <row r="12" spans="2:4" ht="19.899999999999999" customHeight="1" thickBot="1" x14ac:dyDescent="0.35">
      <c r="B12" s="1" t="s">
        <v>22</v>
      </c>
      <c r="C12" s="1" t="s">
        <v>23</v>
      </c>
      <c r="D12" t="str">
        <f>TRIM(RIGHT(SUBSTITUTE(LEFT(B12, FIND(",",B12) -1), " ",REPT(" ",100)), 100))</f>
        <v>Dragoni</v>
      </c>
    </row>
    <row r="13" spans="2:4" ht="19.899999999999999" customHeight="1" thickBot="1" x14ac:dyDescent="0.35">
      <c r="B13" s="1" t="s">
        <v>72</v>
      </c>
      <c r="C13" s="2" t="s">
        <v>103</v>
      </c>
      <c r="D13" t="str">
        <f>TRIM(RIGHT(SUBSTITUTE(LEFT(B13, FIND(",",B13) -1), " ",REPT(" ",100)), 100))</f>
        <v>Ermanni</v>
      </c>
    </row>
    <row r="14" spans="2:4" ht="19.899999999999999" customHeight="1" thickBot="1" x14ac:dyDescent="0.35">
      <c r="B14" s="13" t="s">
        <v>6</v>
      </c>
      <c r="C14" s="1" t="s">
        <v>7</v>
      </c>
      <c r="D14" t="str">
        <f>TRIM(RIGHT(SUBSTITUTE(LEFT(B14, FIND(",",B14) -1), " ",REPT(" ",100)), 100))</f>
        <v>Erturk</v>
      </c>
    </row>
    <row r="15" spans="2:4" ht="19.899999999999999" customHeight="1" thickBot="1" x14ac:dyDescent="0.35">
      <c r="B15" s="14"/>
    </row>
    <row r="16" spans="2:4" ht="19.899999999999999" customHeight="1" thickBot="1" x14ac:dyDescent="0.35">
      <c r="B16" s="9" t="s">
        <v>95</v>
      </c>
      <c r="C16" s="2" t="s">
        <v>93</v>
      </c>
      <c r="D16" t="str">
        <f>TRIM(RIGHT(SUBSTITUTE(LEFT(B16, FIND(",",B16) -1), " ",REPT(" ",100)), 100))</f>
        <v>Fan</v>
      </c>
    </row>
    <row r="17" spans="2:4" ht="19.899999999999999" customHeight="1" thickBot="1" x14ac:dyDescent="0.35">
      <c r="B17" s="9" t="s">
        <v>8</v>
      </c>
      <c r="C17" s="1" t="s">
        <v>9</v>
      </c>
      <c r="D17" t="str">
        <f>TRIM(RIGHT(SUBSTITUTE(LEFT(B17, FIND(",",B17) -1), " ",REPT(" ",100)), 100))</f>
        <v>Flatau</v>
      </c>
    </row>
    <row r="18" spans="2:4" ht="19.899999999999999" customHeight="1" thickBot="1" x14ac:dyDescent="0.35">
      <c r="B18" s="9" t="s">
        <v>24</v>
      </c>
      <c r="C18" s="2" t="s">
        <v>25</v>
      </c>
      <c r="D18" t="str">
        <f>TRIM(RIGHT(SUBSTITUTE(LEFT(B18, FIND(",",B18) -1), " ",REPT(" ",100)), 100))</f>
        <v>Gandhi</v>
      </c>
    </row>
    <row r="19" spans="2:4" ht="19.899999999999999" customHeight="1" thickBot="1" x14ac:dyDescent="0.35">
      <c r="B19" s="9" t="s">
        <v>73</v>
      </c>
      <c r="C19" s="1" t="s">
        <v>74</v>
      </c>
      <c r="D19" t="str">
        <f>TRIM(RIGHT(SUBSTITUTE(LEFT(B19, FIND(",",B19) -1), " ",REPT(" ",100)), 100))</f>
        <v>Gaudenzi</v>
      </c>
    </row>
    <row r="20" spans="2:4" ht="19.899999999999999" customHeight="1" thickBot="1" x14ac:dyDescent="0.35">
      <c r="B20" s="1" t="s">
        <v>71</v>
      </c>
      <c r="C20" s="2" t="s">
        <v>104</v>
      </c>
      <c r="D20" t="str">
        <f>TRIM(RIGHT(SUBSTITUTE(LEFT(B20, FIND(",",B20) -1), " ",REPT(" ",100)), 100))</f>
        <v>Goo</v>
      </c>
    </row>
    <row r="21" spans="2:4" ht="19.899999999999999" customHeight="1" thickBot="1" x14ac:dyDescent="0.35">
      <c r="B21" s="11" t="s">
        <v>89</v>
      </c>
      <c r="C21" s="2" t="s">
        <v>90</v>
      </c>
      <c r="D21" t="str">
        <f>TRIM(RIGHT(SUBSTITUTE(LEFT(B21, FIND(",",B21) -1), " ",REPT(" ",100)), 100))</f>
        <v>Gurdal</v>
      </c>
    </row>
    <row r="22" spans="2:4" ht="19.899999999999999" customHeight="1" thickBot="1" x14ac:dyDescent="0.35">
      <c r="B22" s="12"/>
      <c r="C22" s="2" t="s">
        <v>91</v>
      </c>
    </row>
    <row r="23" spans="2:4" s="7" customFormat="1" ht="19.899999999999999" customHeight="1" thickBot="1" x14ac:dyDescent="0.35">
      <c r="B23" s="1" t="s">
        <v>53</v>
      </c>
      <c r="C23" s="1" t="s">
        <v>54</v>
      </c>
      <c r="D23" t="str">
        <f>TRIM(RIGHT(SUBSTITUTE(LEFT(B23, FIND(",",B23) -1), " ",REPT(" ",100)), 100))</f>
        <v>Han</v>
      </c>
    </row>
    <row r="24" spans="2:4" ht="19.899999999999999" customHeight="1" thickBot="1" x14ac:dyDescent="0.35">
      <c r="B24" s="1" t="s">
        <v>55</v>
      </c>
      <c r="C24" s="1" t="s">
        <v>56</v>
      </c>
      <c r="D24" t="str">
        <f>TRIM(RIGHT(SUBSTITUTE(LEFT(B24, FIND(",",B24) -1), " ",REPT(" ",100)), 100))</f>
        <v>Hanahara</v>
      </c>
    </row>
    <row r="25" spans="2:4" ht="19.899999999999999" customHeight="1" thickBot="1" x14ac:dyDescent="0.35">
      <c r="B25" s="1" t="s">
        <v>34</v>
      </c>
      <c r="C25" s="2" t="s">
        <v>35</v>
      </c>
      <c r="D25" t="str">
        <f>TRIM(RIGHT(SUBSTITUTE(LEFT(B25, FIND(",",B25) -1), " ",REPT(" ",100)), 100))</f>
        <v>Hanselka</v>
      </c>
    </row>
    <row r="26" spans="2:4" ht="19.899999999999999" customHeight="1" thickBot="1" x14ac:dyDescent="0.35">
      <c r="B26" s="1" t="s">
        <v>18</v>
      </c>
      <c r="C26" s="1" t="s">
        <v>19</v>
      </c>
      <c r="D26" t="str">
        <f>TRIM(RIGHT(SUBSTITUTE(LEFT(B26, FIND(",",B26) -1), " ",REPT(" ",100)), 100))</f>
        <v>Inman</v>
      </c>
    </row>
    <row r="27" spans="2:4" ht="19.899999999999999" customHeight="1" thickBot="1" x14ac:dyDescent="0.35">
      <c r="B27" s="1" t="s">
        <v>85</v>
      </c>
      <c r="C27" s="2" t="s">
        <v>86</v>
      </c>
      <c r="D27" t="str">
        <f>TRIM(RIGHT(SUBSTITUTE(LEFT(B27, FIND(",",B27) -1), " ",REPT(" ",100)), 100))</f>
        <v>Jiang</v>
      </c>
    </row>
    <row r="28" spans="2:4" ht="19.899999999999999" customHeight="1" thickBot="1" x14ac:dyDescent="0.35">
      <c r="B28" s="8" t="s">
        <v>111</v>
      </c>
      <c r="C28" s="2" t="s">
        <v>101</v>
      </c>
      <c r="D28" t="str">
        <f>TRIM(RIGHT(SUBSTITUTE(LEFT(B28, FIND(",",B28) -1), " ",REPT(" ",100)), 100))</f>
        <v>Jovanova</v>
      </c>
    </row>
    <row r="29" spans="2:4" ht="19.899999999999999" customHeight="1" thickBot="1" x14ac:dyDescent="0.35">
      <c r="B29" s="1" t="s">
        <v>16</v>
      </c>
      <c r="C29" s="1" t="s">
        <v>17</v>
      </c>
      <c r="D29" t="str">
        <f>TRIM(RIGHT(SUBSTITUTE(LEFT(B29, FIND(",",B29) -1), " ",REPT(" ",100)), 100))</f>
        <v>Lagoudas</v>
      </c>
    </row>
    <row r="30" spans="2:4" ht="19.899999999999999" customHeight="1" thickBot="1" x14ac:dyDescent="0.35">
      <c r="B30" s="1" t="s">
        <v>46</v>
      </c>
      <c r="C30" s="2" t="s">
        <v>47</v>
      </c>
      <c r="D30" t="str">
        <f>TRIM(RIGHT(SUBSTITUTE(LEFT(B30, FIND(",",B30) -1), " ",REPT(" ",100)), 100))</f>
        <v>Lee</v>
      </c>
    </row>
    <row r="31" spans="2:4" ht="19.899999999999999" customHeight="1" thickBot="1" x14ac:dyDescent="0.35">
      <c r="B31" s="1" t="s">
        <v>105</v>
      </c>
      <c r="C31" s="2" t="s">
        <v>57</v>
      </c>
      <c r="D31" t="str">
        <f>TRIM(RIGHT(SUBSTITUTE(LEFT(B31, FIND(",",B31) -1), " ",REPT(" ",100)), 100))</f>
        <v>Lee</v>
      </c>
    </row>
    <row r="32" spans="2:4" ht="19.899999999999999" customHeight="1" thickBot="1" x14ac:dyDescent="0.35">
      <c r="B32" s="1" t="s">
        <v>49</v>
      </c>
      <c r="C32" s="2" t="s">
        <v>50</v>
      </c>
      <c r="D32" t="str">
        <f>TRIM(RIGHT(SUBSTITUTE(LEFT(B32, FIND(",",B32) -1), " ",REPT(" ",100)), 100))</f>
        <v>Leng</v>
      </c>
    </row>
    <row r="33" spans="2:4" ht="19.899999999999999" customHeight="1" thickBot="1" x14ac:dyDescent="0.35">
      <c r="B33" s="11" t="s">
        <v>29</v>
      </c>
      <c r="C33" s="1" t="s">
        <v>30</v>
      </c>
      <c r="D33" t="str">
        <f>TRIM(RIGHT(SUBSTITUTE(LEFT(B33, FIND(",",B33) -1), " ",REPT(" ",100)), 100))</f>
        <v>Lesieutre</v>
      </c>
    </row>
    <row r="34" spans="2:4" ht="19.899999999999999" customHeight="1" thickBot="1" x14ac:dyDescent="0.35">
      <c r="B34" s="12"/>
      <c r="C34" s="1" t="s">
        <v>31</v>
      </c>
    </row>
    <row r="35" spans="2:4" ht="19.899999999999999" customHeight="1" thickBot="1" x14ac:dyDescent="0.35">
      <c r="B35" s="8" t="s">
        <v>110</v>
      </c>
      <c r="C35" s="2" t="s">
        <v>106</v>
      </c>
      <c r="D35" t="str">
        <f>TRIM(RIGHT(SUBSTITUTE(LEFT(B35, FIND(",",B35) -1), " ",REPT(" ",100)), 100))</f>
        <v>Li</v>
      </c>
    </row>
    <row r="36" spans="2:4" ht="19.899999999999999" customHeight="1" thickBot="1" x14ac:dyDescent="0.35">
      <c r="B36" s="8" t="s">
        <v>108</v>
      </c>
      <c r="C36" s="2" t="s">
        <v>97</v>
      </c>
      <c r="D36" t="str">
        <f>TRIM(RIGHT(SUBSTITUTE(LEFT(B36, FIND(",",B36) -1), " ",REPT(" ",100)), 100))</f>
        <v>Liang</v>
      </c>
    </row>
    <row r="37" spans="2:4" ht="19.899999999999999" customHeight="1" thickBot="1" x14ac:dyDescent="0.35">
      <c r="B37" s="1" t="s">
        <v>79</v>
      </c>
      <c r="C37" s="1" t="s">
        <v>80</v>
      </c>
      <c r="D37" t="str">
        <f>TRIM(RIGHT(SUBSTITUTE(LEFT(B37, FIND(",",B37) -1), " ",REPT(" ",100)), 100))</f>
        <v>Liao</v>
      </c>
    </row>
    <row r="38" spans="2:4" ht="19.899999999999999" customHeight="1" thickBot="1" x14ac:dyDescent="0.35">
      <c r="B38" s="1" t="s">
        <v>65</v>
      </c>
      <c r="C38" s="1" t="s">
        <v>66</v>
      </c>
      <c r="D38" t="str">
        <f>TRIM(RIGHT(SUBSTITUTE(LEFT(B38, FIND(",",B38) -1), " ",REPT(" ",100)), 100))</f>
        <v>Martinez</v>
      </c>
    </row>
    <row r="39" spans="2:4" ht="19.899999999999999" customHeight="1" thickBot="1" x14ac:dyDescent="0.35">
      <c r="B39" s="6" t="s">
        <v>38</v>
      </c>
      <c r="C39" s="6" t="s">
        <v>39</v>
      </c>
      <c r="D39" t="str">
        <f>TRIM(RIGHT(SUBSTITUTE(LEFT(B39, FIND(",",B39) -1), " ",REPT(" ",100)), 100))</f>
        <v>Monner</v>
      </c>
    </row>
    <row r="40" spans="2:4" ht="19.899999999999999" customHeight="1" thickBot="1" x14ac:dyDescent="0.35">
      <c r="B40" s="1" t="s">
        <v>61</v>
      </c>
      <c r="C40" s="2" t="s">
        <v>62</v>
      </c>
      <c r="D40" t="str">
        <f>TRIM(RIGHT(SUBSTITUTE(LEFT(B40, FIND(",",B40) -1), " ",REPT(" ",100)), 100))</f>
        <v>Natori</v>
      </c>
    </row>
    <row r="41" spans="2:4" ht="19.899999999999999" customHeight="1" thickBot="1" x14ac:dyDescent="0.35">
      <c r="B41" s="11" t="s">
        <v>26</v>
      </c>
      <c r="C41" s="1" t="s">
        <v>27</v>
      </c>
      <c r="D41" t="str">
        <f>TRIM(RIGHT(SUBSTITUTE(LEFT(B41, FIND(",",B41) -1), " ",REPT(" ",100)), 100))</f>
        <v>Nitzsche</v>
      </c>
    </row>
    <row r="42" spans="2:4" ht="19.899999999999999" customHeight="1" thickBot="1" x14ac:dyDescent="0.35">
      <c r="B42" s="12"/>
      <c r="C42" s="1" t="s">
        <v>28</v>
      </c>
    </row>
    <row r="43" spans="2:4" ht="19.899999999999999" customHeight="1" thickBot="1" x14ac:dyDescent="0.35">
      <c r="B43" s="11" t="s">
        <v>76</v>
      </c>
      <c r="C43" s="1" t="s">
        <v>77</v>
      </c>
      <c r="D43" t="str">
        <f>TRIM(RIGHT(SUBSTITUTE(LEFT(B43, FIND(",",B43) -1), " ",REPT(" ",100)), 100))</f>
        <v>Ohayon</v>
      </c>
    </row>
    <row r="44" spans="2:4" ht="19.899999999999999" customHeight="1" thickBot="1" x14ac:dyDescent="0.35">
      <c r="B44" s="12"/>
      <c r="C44" s="1" t="s">
        <v>78</v>
      </c>
    </row>
    <row r="45" spans="2:4" ht="19.899999999999999" customHeight="1" thickBot="1" x14ac:dyDescent="0.35">
      <c r="B45" s="1" t="s">
        <v>36</v>
      </c>
      <c r="C45" s="2" t="s">
        <v>37</v>
      </c>
      <c r="D45" t="str">
        <f>TRIM(RIGHT(SUBSTITUTE(LEFT(B45, FIND(",",B45) -1), " ",REPT(" ",100)), 100))</f>
        <v>Okubo</v>
      </c>
    </row>
    <row r="46" spans="2:4" ht="19.899999999999999" customHeight="1" thickBot="1" x14ac:dyDescent="0.35">
      <c r="B46" s="1" t="s">
        <v>48</v>
      </c>
      <c r="C46" s="2" t="s">
        <v>99</v>
      </c>
      <c r="D46" t="str">
        <f>TRIM(RIGHT(SUBSTITUTE(LEFT(B46, FIND(",",B46) -1), " ",REPT(" ",100)), 100))</f>
        <v>Qiu</v>
      </c>
    </row>
    <row r="47" spans="2:4" ht="19.899999999999999" customHeight="1" thickBot="1" x14ac:dyDescent="0.35">
      <c r="B47" s="9" t="s">
        <v>20</v>
      </c>
      <c r="C47" s="2" t="s">
        <v>21</v>
      </c>
      <c r="D47" t="str">
        <f>TRIM(RIGHT(SUBSTITUTE(LEFT(B47, FIND(",",B47) -1), " ",REPT(" ",100)), 100))</f>
        <v>Saravanos</v>
      </c>
    </row>
    <row r="48" spans="2:4" ht="19.899999999999999" customHeight="1" thickBot="1" x14ac:dyDescent="0.35">
      <c r="B48" s="9" t="s">
        <v>112</v>
      </c>
      <c r="C48" s="1" t="s">
        <v>92</v>
      </c>
      <c r="D48" t="str">
        <f>TRIM(RIGHT(SUBSTITUTE(LEFT(B48, FIND(",",B48) -1), " ",REPT(" ",100)), 100))</f>
        <v>Sedaghati</v>
      </c>
    </row>
    <row r="49" spans="2:4" ht="19.899999999999999" customHeight="1" thickBot="1" x14ac:dyDescent="0.35">
      <c r="B49" s="1" t="s">
        <v>81</v>
      </c>
      <c r="C49" s="2" t="s">
        <v>82</v>
      </c>
      <c r="D49" t="str">
        <f>TRIM(RIGHT(SUBSTITUTE(LEFT(B49, FIND(",",B49) -1), " ",REPT(" ",100)), 100))</f>
        <v>Staszewski</v>
      </c>
    </row>
    <row r="50" spans="2:4" ht="19.899999999999999" customHeight="1" thickBot="1" x14ac:dyDescent="0.35">
      <c r="B50" s="1" t="s">
        <v>41</v>
      </c>
      <c r="C50" s="1" t="s">
        <v>42</v>
      </c>
      <c r="D50" t="str">
        <f>TRIM(RIGHT(SUBSTITUTE(LEFT(B50, FIND(",",B50) -1), " ",REPT(" ",100)), 100))</f>
        <v>Tanaka</v>
      </c>
    </row>
    <row r="51" spans="2:4" ht="19.899999999999999" customHeight="1" thickBot="1" x14ac:dyDescent="0.35">
      <c r="B51" s="8" t="s">
        <v>109</v>
      </c>
      <c r="C51" s="2" t="s">
        <v>100</v>
      </c>
      <c r="D51" t="str">
        <f>TRIM(RIGHT(SUBSTITUTE(LEFT(B51, FIND(",",B51) -1), " ",REPT(" ",100)), 100))</f>
        <v>Tang</v>
      </c>
    </row>
    <row r="52" spans="2:4" ht="19.899999999999999" customHeight="1" thickBot="1" x14ac:dyDescent="0.35">
      <c r="B52" s="1" t="s">
        <v>67</v>
      </c>
      <c r="C52" s="1" t="s">
        <v>68</v>
      </c>
      <c r="D52" t="str">
        <f>TRIM(RIGHT(SUBSTITUTE(LEFT(B52, FIND(",",B52) -1), " ",REPT(" ",100)), 100))</f>
        <v>Trindade</v>
      </c>
    </row>
    <row r="53" spans="2:4" ht="19.899999999999999" customHeight="1" thickBot="1" x14ac:dyDescent="0.35">
      <c r="B53" s="1" t="s">
        <v>40</v>
      </c>
      <c r="C53" s="1" t="s">
        <v>98</v>
      </c>
      <c r="D53" t="str">
        <f>TRIM(RIGHT(SUBSTITUTE(LEFT(B53, FIND(",",B53) -1), " ",REPT(" ",100)), 100))</f>
        <v>Tzou</v>
      </c>
    </row>
    <row r="54" spans="2:4" ht="19.899999999999999" customHeight="1" thickBot="1" x14ac:dyDescent="0.35">
      <c r="B54" s="1" t="s">
        <v>113</v>
      </c>
      <c r="C54" s="1" t="s">
        <v>43</v>
      </c>
      <c r="D54" t="str">
        <f>TRIM(RIGHT(SUBSTITUTE(LEFT(B54, FIND(",",B54) -1), " ",REPT(" ",100)), 100))</f>
        <v>Wang</v>
      </c>
    </row>
    <row r="55" spans="2:4" ht="19.899999999999999" customHeight="1" thickBot="1" x14ac:dyDescent="0.35">
      <c r="B55" s="9" t="s">
        <v>58</v>
      </c>
      <c r="C55" s="2" t="s">
        <v>59</v>
      </c>
      <c r="D55" t="str">
        <f>TRIM(RIGHT(SUBSTITUTE(LEFT(B55, FIND(",",B55) -1), " ",REPT(" ",100)), 100))</f>
        <v>Wang</v>
      </c>
    </row>
    <row r="56" spans="2:4" ht="19.899999999999999" customHeight="1" thickBot="1" x14ac:dyDescent="0.35">
      <c r="B56" s="9" t="s">
        <v>69</v>
      </c>
      <c r="C56" s="1" t="s">
        <v>70</v>
      </c>
      <c r="D56" t="str">
        <f>TRIM(RIGHT(SUBSTITUTE(LEFT(B56, FIND(",",B56) -1), " ",REPT(" ",100)), 100))</f>
        <v>Wereley</v>
      </c>
    </row>
    <row r="57" spans="2:4" ht="19.899999999999999" customHeight="1" thickBot="1" x14ac:dyDescent="0.35">
      <c r="B57" s="1" t="s">
        <v>10</v>
      </c>
      <c r="C57" s="2" t="s">
        <v>11</v>
      </c>
      <c r="D57" t="str">
        <f>TRIM(RIGHT(SUBSTITUTE(LEFT(B57, FIND(",",B57) -1), " ",REPT(" ",100)), 100))</f>
        <v>Wickenheiser</v>
      </c>
    </row>
    <row r="58" spans="2:4" ht="19.899999999999999" customHeight="1" thickBot="1" x14ac:dyDescent="0.35">
      <c r="B58" s="1" t="s">
        <v>12</v>
      </c>
      <c r="C58" s="2" t="s">
        <v>13</v>
      </c>
      <c r="D58" t="str">
        <f>TRIM(RIGHT(SUBSTITUTE(LEFT(B58, FIND(",",B58) -1), " ",REPT(" ",100)), 100))</f>
        <v>Woods</v>
      </c>
    </row>
    <row r="59" spans="2:4" ht="19.149999999999999" customHeight="1" thickBot="1" x14ac:dyDescent="0.35">
      <c r="B59" s="1" t="s">
        <v>83</v>
      </c>
      <c r="C59" s="1" t="s">
        <v>84</v>
      </c>
      <c r="D59" t="str">
        <f>TRIM(RIGHT(SUBSTITUTE(LEFT(B59, FIND(",",B59) -1), " ",REPT(" ",100)), 100))</f>
        <v>Wu</v>
      </c>
    </row>
    <row r="60" spans="2:4" ht="19.899999999999999" customHeight="1" thickBot="1" x14ac:dyDescent="0.35">
      <c r="B60" s="8" t="s">
        <v>107</v>
      </c>
      <c r="C60" s="2" t="s">
        <v>96</v>
      </c>
      <c r="D60" t="str">
        <f>TRIM(RIGHT(SUBSTITUTE(LEFT(B60, FIND(",",B60) -1), " ",REPT(" ",100)), 100))</f>
        <v>Yang</v>
      </c>
    </row>
    <row r="62" spans="2:4" x14ac:dyDescent="0.3">
      <c r="B62" s="4" t="s">
        <v>94</v>
      </c>
      <c r="C62" s="3" t="s">
        <v>94</v>
      </c>
    </row>
  </sheetData>
  <sortState xmlns:xlrd2="http://schemas.microsoft.com/office/spreadsheetml/2017/richdata2" ref="B2:D60">
    <sortCondition ref="D2:D60"/>
  </sortState>
  <mergeCells count="5">
    <mergeCell ref="B14:B15"/>
    <mergeCell ref="B21:B22"/>
    <mergeCell ref="B33:B34"/>
    <mergeCell ref="B41:B42"/>
    <mergeCell ref="B43:B44"/>
  </mergeCells>
  <phoneticPr fontId="3" type="noConversion"/>
  <hyperlinks>
    <hyperlink ref="C32" r:id="rId1" xr:uid="{A97E2AFF-E202-4227-80DC-6B97067DF1C6}"/>
    <hyperlink ref="C2" r:id="rId2" xr:uid="{072ED33C-DE0D-4EF0-BE8E-078D0B24DAC9}"/>
    <hyperlink ref="C57" r:id="rId3" xr:uid="{9CE0E5B3-32C8-4007-AFB1-F867EBF37B6E}"/>
    <hyperlink ref="C58" r:id="rId4" xr:uid="{16E7D522-7002-4F12-9D67-6432736D63D0}"/>
    <hyperlink ref="C31" r:id="rId5" xr:uid="{3F89F272-308D-4FAC-8F45-6FD76FC65615}"/>
    <hyperlink ref="C4" r:id="rId6" display="mailto:drdiannbrei@umich.edu" xr:uid="{DA46CAE3-C477-4F6D-9415-5A115DAAB3D1}"/>
    <hyperlink ref="C18" r:id="rId7" xr:uid="{1727C79B-DED6-4FA7-AA72-CEF279873094}"/>
    <hyperlink ref="C20" r:id="rId8" xr:uid="{9D284668-5A9B-4E29-BDFB-728746B61B7C}"/>
    <hyperlink ref="C25" r:id="rId9" xr:uid="{E0386201-9CE2-469E-A1A4-980973F15AD1}"/>
    <hyperlink ref="C11" r:id="rId10" xr:uid="{1A48930B-64EC-4108-B685-8394A8AB1AC2}"/>
    <hyperlink ref="C55" r:id="rId11" xr:uid="{0172E9BA-8657-4AA8-8F3D-766E059AF50E}"/>
    <hyperlink ref="C30" r:id="rId12" xr:uid="{AE089A9E-3E37-4849-98E1-4C70BBF1CCC7}"/>
    <hyperlink ref="C8" r:id="rId13" xr:uid="{8EEAA411-E580-4DDA-9298-6CD91BD9645B}"/>
    <hyperlink ref="C40" r:id="rId14" xr:uid="{10C92037-12B5-4D42-A5E0-6CA49945F45E}"/>
    <hyperlink ref="C45" r:id="rId15" xr:uid="{61FA2327-21AC-4C2D-A106-6D093629F2DD}"/>
    <hyperlink ref="C5" r:id="rId16" xr:uid="{6C51C4D7-CABE-4AB7-B9FA-859011931510}"/>
    <hyperlink ref="C10" r:id="rId17" xr:uid="{84CC406D-74F5-4477-87C4-FB25FF109CCF}"/>
    <hyperlink ref="C47" r:id="rId18" xr:uid="{473EB45A-E09A-4889-9225-6EB831801D4E}"/>
    <hyperlink ref="C49" r:id="rId19" xr:uid="{17EB55BC-BCAB-49A4-9D5E-CBB12C8F2C9E}"/>
    <hyperlink ref="C27" r:id="rId20" xr:uid="{3ADEBEE9-1BB2-4DB2-B2F3-FD6875968BDB}"/>
    <hyperlink ref="C21" r:id="rId21" xr:uid="{920E6D8A-6EEE-4ABF-A1DC-759D4FE67228}"/>
    <hyperlink ref="C22" r:id="rId22" display="mailto:zgurdal@skoltech.ru" xr:uid="{DA82B581-6307-4B55-8AAF-CB6C09515110}"/>
    <hyperlink ref="C16" r:id="rId23" xr:uid="{C6D4C68F-1EEE-4E0A-98B5-EE09DC0265E0}"/>
    <hyperlink ref="C46" r:id="rId24" xr:uid="{53EFDB3B-939C-4E43-8F43-1F3E1C0E7385}"/>
    <hyperlink ref="C51" r:id="rId25" xr:uid="{46F06B32-B111-44B2-B5AE-123942D3E9CB}"/>
    <hyperlink ref="C60" r:id="rId26" xr:uid="{10C31905-C8AA-4C5D-9E80-89937212A690}"/>
    <hyperlink ref="C36" r:id="rId27" xr:uid="{FA652201-90B8-4941-B865-27D79F3ED2FF}"/>
    <hyperlink ref="C35" r:id="rId28" xr:uid="{7CDB6901-910F-45D0-AC9E-C74F1E612FBF}"/>
    <hyperlink ref="C13" r:id="rId29" xr:uid="{792E263B-B14F-40F4-82A0-D54B28328BCA}"/>
    <hyperlink ref="C28" r:id="rId30" xr:uid="{FD6C8B17-974F-486C-8D09-F8768A90692F}"/>
  </hyperlinks>
  <pageMargins left="0.7" right="0.7" top="0.75" bottom="0.75" header="0.3" footer="0.3"/>
  <pageSetup paperSize="9" orientation="portrait" r:id="rId3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activity xmlns="04f307b9-a7a6-46a1-b058-6a05536458f4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C5444CBAB43544BB5F39AEB086F5DF4" ma:contentTypeVersion="20" ma:contentTypeDescription="Creare un nuovo documento." ma:contentTypeScope="" ma:versionID="cc77a75fd4d8a07e7f66757ad193ed1c">
  <xsd:schema xmlns:xsd="http://www.w3.org/2001/XMLSchema" xmlns:xs="http://www.w3.org/2001/XMLSchema" xmlns:p="http://schemas.microsoft.com/office/2006/metadata/properties" xmlns:ns1="http://schemas.microsoft.com/sharepoint/v3" xmlns:ns3="fe93e1b3-fdca-4a7b-99fd-f2ab762c395b" xmlns:ns4="04f307b9-a7a6-46a1-b058-6a05536458f4" targetNamespace="http://schemas.microsoft.com/office/2006/metadata/properties" ma:root="true" ma:fieldsID="a46971cca71a0cc80f1da8fc857289d6" ns1:_="" ns3:_="" ns4:_="">
    <xsd:import namespace="http://schemas.microsoft.com/sharepoint/v3"/>
    <xsd:import namespace="fe93e1b3-fdca-4a7b-99fd-f2ab762c395b"/>
    <xsd:import namespace="04f307b9-a7a6-46a1-b058-6a05536458f4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Proprietà criteri di conformità unificati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Azione interfaccia utente criteri di conformità unificati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93e1b3-fdca-4a7b-99fd-f2ab762c395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suggerimento condivisione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f307b9-a7a6-46a1-b058-6a05536458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40F4B3-D335-4F30-B53B-EE2A82E50F0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1F793D-6BE6-4EB4-A5EC-4719724D39C9}">
  <ds:schemaRefs>
    <ds:schemaRef ds:uri="http://purl.org/dc/elements/1.1/"/>
    <ds:schemaRef ds:uri="http://schemas.microsoft.com/office/infopath/2007/PartnerControls"/>
    <ds:schemaRef ds:uri="http://purl.org/dc/terms/"/>
    <ds:schemaRef ds:uri="http://purl.org/dc/dcmitype/"/>
    <ds:schemaRef ds:uri="http://schemas.microsoft.com/sharepoint/v3"/>
    <ds:schemaRef ds:uri="fe93e1b3-fdca-4a7b-99fd-f2ab762c395b"/>
    <ds:schemaRef ds:uri="http://schemas.microsoft.com/office/2006/documentManagement/types"/>
    <ds:schemaRef ds:uri="http://schemas.openxmlformats.org/package/2006/metadata/core-properties"/>
    <ds:schemaRef ds:uri="04f307b9-a7a6-46a1-b058-6a05536458f4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FAD7629-BA36-4462-A0C9-220E5554B5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e93e1b3-fdca-4a7b-99fd-f2ab762c395b"/>
    <ds:schemaRef ds:uri="04f307b9-a7a6-46a1-b058-6a05536458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IOC ICAST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Concilio Antonio</dc:creator>
  <cp:keywords/>
  <dc:description/>
  <cp:lastModifiedBy>元 张</cp:lastModifiedBy>
  <cp:revision/>
  <dcterms:created xsi:type="dcterms:W3CDTF">2024-10-21T12:15:21Z</dcterms:created>
  <dcterms:modified xsi:type="dcterms:W3CDTF">2025-11-07T13:04:36Z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0x0101002C5444CBAB43544BB5F39AEB086F5DF4</vt:lpwstr>
  </property>
</Properties>
</file>